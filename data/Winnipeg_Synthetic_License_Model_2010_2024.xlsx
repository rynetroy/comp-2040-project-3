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oyd\_Troy\Term2-DSML\Python Ess- Comp 2040\final_project\DHS\"/>
    </mc:Choice>
  </mc:AlternateContent>
  <xr:revisionPtr revIDLastSave="0" documentId="8_{6DEC592D-A81F-4240-86C6-61942E14CA0F}" xr6:coauthVersionLast="47" xr6:coauthVersionMax="47" xr10:uidLastSave="{00000000-0000-0000-0000-000000000000}"/>
  <bookViews>
    <workbookView xWindow="-103" yWindow="-103" windowWidth="33120" windowHeight="18720" activeTab="5" xr2:uid="{00000000-000D-0000-FFFF-FFFF00000000}"/>
  </bookViews>
  <sheets>
    <sheet name="README" sheetId="1" r:id="rId1"/>
    <sheet name="Retail License Flows" sheetId="2" r:id="rId2"/>
    <sheet name="Office License Flows" sheetId="3" r:id="rId3"/>
    <sheet name="Food &amp; Services" sheetId="4" r:id="rId4"/>
    <sheet name="Combined Summary" sheetId="5" r:id="rId5"/>
    <sheet name="Sample License Record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5" l="1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E5" i="5"/>
  <c r="G4" i="5"/>
  <c r="E4" i="5"/>
  <c r="G3" i="5"/>
  <c r="E3" i="5"/>
  <c r="G2" i="5"/>
  <c r="E2" i="5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<sst xmlns="http://schemas.openxmlformats.org/spreadsheetml/2006/main" count="345" uniqueCount="159">
  <si>
    <t>Downtown Winnipeg Business License</t>
  </si>
  <si>
    <t>Synthetic Continuity Model 2010–2024</t>
  </si>
  <si>
    <t>PURPOSE</t>
  </si>
  <si>
    <t>Gap-fill reconstruction for missing municipal license records 2010–2021. NOT real City data.</t>
  </si>
  <si>
    <t>METHODOLOGY</t>
  </si>
  <si>
    <t>Calibrated using CBRE vacancy series, BIZ reports, Statistics Canada census, and known events.</t>
  </si>
  <si>
    <t>CONFIDENCE</t>
  </si>
  <si>
    <t>High for 2022–2024 (open data anchor). Medium for 2015–2021. Low/synthetic for 2010–2014.</t>
  </si>
  <si>
    <t>KNOWN EVENTS</t>
  </si>
  <si>
    <t>Portage Place decline ~2013+, COVID shock 2020, Hudson's Bay closure 2023, remote work shift 2020+</t>
  </si>
  <si>
    <t>DATA GAP</t>
  </si>
  <si>
    <t>City of Winnipeg retention policy = 10 years. Pre-2014 records legally destroyed.</t>
  </si>
  <si>
    <t>FIPPA STATUS</t>
  </si>
  <si>
    <t>Request pending. Aggregated summaries may recover 2013–2014 signal.</t>
  </si>
  <si>
    <t>LAST UPDATED</t>
  </si>
  <si>
    <t>2025</t>
  </si>
  <si>
    <t>CONTACT</t>
  </si>
  <si>
    <t>Troy — Urban Development Research Dataset</t>
  </si>
  <si>
    <t>Year</t>
  </si>
  <si>
    <t>Licenses Issued</t>
  </si>
  <si>
    <t>Licenses Closed</t>
  </si>
  <si>
    <t>Net Change</t>
  </si>
  <si>
    <t>Active Estimate</t>
  </si>
  <si>
    <t>Vacancy Proxy Index</t>
  </si>
  <si>
    <t>Confidence</t>
  </si>
  <si>
    <t>Notes</t>
  </si>
  <si>
    <t>Medium</t>
  </si>
  <si>
    <t>Pre-decline baseline retail stability</t>
  </si>
  <si>
    <t>Stable commercial core</t>
  </si>
  <si>
    <t>Early softness emerging</t>
  </si>
  <si>
    <t>Portage Place structural decline begins</t>
  </si>
  <si>
    <t>Net contraction begins</t>
  </si>
  <si>
    <t>Continued retail erosion</t>
  </si>
  <si>
    <t>Office + retail pressure increases</t>
  </si>
  <si>
    <t>Weakening downtown core activity</t>
  </si>
  <si>
    <t>Structural decline continues</t>
  </si>
  <si>
    <t>Pre-COVID low point</t>
  </si>
  <si>
    <t>High</t>
  </si>
  <si>
    <t>COVID shock year</t>
  </si>
  <si>
    <t>Recovery lag + closures persist</t>
  </si>
  <si>
    <t>Early reopening phase (open data anchor)</t>
  </si>
  <si>
    <t>Stabilization begins</t>
  </si>
  <si>
    <t>Partial recovery — below 2010 baseline</t>
  </si>
  <si>
    <t>Stable pre-remote work era</t>
  </si>
  <si>
    <t>Steady office market</t>
  </si>
  <si>
    <t>Minor softness</t>
  </si>
  <si>
    <t>Pre-transition stability</t>
  </si>
  <si>
    <t>Stable with mild pressure</t>
  </si>
  <si>
    <t>Flat year — holding pattern</t>
  </si>
  <si>
    <t>Early vacancy pressure</t>
  </si>
  <si>
    <t>Softening</t>
  </si>
  <si>
    <t>Continued weakness</t>
  </si>
  <si>
    <t>Pre-pandemic softening</t>
  </si>
  <si>
    <t>Remote work shock</t>
  </si>
  <si>
    <t>Hybrid transition period</t>
  </si>
  <si>
    <t>Partial return-to-office (open data anchor)</t>
  </si>
  <si>
    <t>Slow stabilization</t>
  </si>
  <si>
    <t>Gradual recovery trend</t>
  </si>
  <si>
    <t>Stable restaurant + service market</t>
  </si>
  <si>
    <t>Growth in food sector</t>
  </si>
  <si>
    <t>Early pressure from retail decline</t>
  </si>
  <si>
    <t>Mixed signals</t>
  </si>
  <si>
    <t>Flat growth</t>
  </si>
  <si>
    <t>Slow erosion</t>
  </si>
  <si>
    <t>Weakening foot traffic impact</t>
  </si>
  <si>
    <t>Decline accelerating</t>
  </si>
  <si>
    <t>Pre-COVID low</t>
  </si>
  <si>
    <t>Dining restrictions — COVID</t>
  </si>
  <si>
    <t>Partial reopening</t>
  </si>
  <si>
    <t>Recovery phase (open data anchor)</t>
  </si>
  <si>
    <t>Stabilizing food sector</t>
  </si>
  <si>
    <t>Growth — strongest sector in recovery</t>
  </si>
  <si>
    <t>Retail Active</t>
  </si>
  <si>
    <t>Office Active</t>
  </si>
  <si>
    <t>Food+Svc Active</t>
  </si>
  <si>
    <t>Total Active</t>
  </si>
  <si>
    <t>Avg Vacancy Index</t>
  </si>
  <si>
    <t>Net Change (All)</t>
  </si>
  <si>
    <t>Key Event</t>
  </si>
  <si>
    <t>Baseline year</t>
  </si>
  <si>
    <t>Downtown office vacancy peaks pre-COVID</t>
  </si>
  <si>
    <t>Trough year — pre-pandemic lows across all sectors</t>
  </si>
  <si>
    <t>COVID-19 shock — dining restrictions, remote work mandate</t>
  </si>
  <si>
    <t>Partial reopening; churn remains elevated</t>
  </si>
  <si>
    <t>Open data anchor year; stabilization</t>
  </si>
  <si>
    <t>Hudson's Bay closure; food sector leads recovery</t>
  </si>
  <si>
    <t>Uneven recovery — retail below 2010 baseline</t>
  </si>
  <si>
    <t>Folder Type</t>
  </si>
  <si>
    <t>Folder Description</t>
  </si>
  <si>
    <t>Subdescription</t>
  </si>
  <si>
    <t>Trade Name</t>
  </si>
  <si>
    <t>Address</t>
  </si>
  <si>
    <t>Issue Date</t>
  </si>
  <si>
    <t>Expiry Date</t>
  </si>
  <si>
    <t>Status</t>
  </si>
  <si>
    <t>Neighbourhood #</t>
  </si>
  <si>
    <t>Neighbourhood Name</t>
  </si>
  <si>
    <t>Electoral Ward</t>
  </si>
  <si>
    <t>Community Area</t>
  </si>
  <si>
    <t>Data Source</t>
  </si>
  <si>
    <t>LP</t>
  </si>
  <si>
    <t>License - Personal Sales</t>
  </si>
  <si>
    <t>Bicycle Dealer</t>
  </si>
  <si>
    <t>Natural Cycle</t>
  </si>
  <si>
    <t>91 Albert St</t>
  </si>
  <si>
    <t>2023-05-10</t>
  </si>
  <si>
    <t>2024-05-31</t>
  </si>
  <si>
    <t>Issued</t>
  </si>
  <si>
    <t>3.17</t>
  </si>
  <si>
    <t>EXCHANGE DISTRICT</t>
  </si>
  <si>
    <t>Point Douglas</t>
  </si>
  <si>
    <t>Downtown</t>
  </si>
  <si>
    <t>City of Winnipeg Open Data</t>
  </si>
  <si>
    <t>2022-05-10</t>
  </si>
  <si>
    <t>2023-05-31</t>
  </si>
  <si>
    <t>Closed</t>
  </si>
  <si>
    <t>2021-05-17</t>
  </si>
  <si>
    <t>2022-05-31</t>
  </si>
  <si>
    <t>2020-05-15</t>
  </si>
  <si>
    <t>2021-05-31</t>
  </si>
  <si>
    <t>Synthetic backfill — lifecycle inferred</t>
  </si>
  <si>
    <t>2019-05-20</t>
  </si>
  <si>
    <t>2020-05-31</t>
  </si>
  <si>
    <t>2018-05-15</t>
  </si>
  <si>
    <t>2019-05-31</t>
  </si>
  <si>
    <t>Low</t>
  </si>
  <si>
    <t>Synthetic backfill — extrapolated</t>
  </si>
  <si>
    <t>2017-05-10</t>
  </si>
  <si>
    <t>2018-05-31</t>
  </si>
  <si>
    <t>LB</t>
  </si>
  <si>
    <t>License - Business</t>
  </si>
  <si>
    <t>Restaurant</t>
  </si>
  <si>
    <t>The Forks Eatery</t>
  </si>
  <si>
    <t>1 Forks Market Rd</t>
  </si>
  <si>
    <t>2022-03-01</t>
  </si>
  <si>
    <t>2023-02-28</t>
  </si>
  <si>
    <t>3.18</t>
  </si>
  <si>
    <t>THE FORKS</t>
  </si>
  <si>
    <t>2021-03-15</t>
  </si>
  <si>
    <t>2022-02-28</t>
  </si>
  <si>
    <t>Retail Store</t>
  </si>
  <si>
    <t>Exchange General</t>
  </si>
  <si>
    <t>139 Bannatyne Ave</t>
  </si>
  <si>
    <t>2023-01-10</t>
  </si>
  <si>
    <t>2024-01-31</t>
  </si>
  <si>
    <t>2020-01-15</t>
  </si>
  <si>
    <t>2021-01-31</t>
  </si>
  <si>
    <t>Synthetic — COVID period inferred</t>
  </si>
  <si>
    <t>Office Services</t>
  </si>
  <si>
    <t>Portage Business Svcs</t>
  </si>
  <si>
    <t>393 Portage Ave</t>
  </si>
  <si>
    <t>2019-02-01</t>
  </si>
  <si>
    <t>2020-01-31</t>
  </si>
  <si>
    <t>3.19</t>
  </si>
  <si>
    <t>PORTAGE &amp; MAIN</t>
  </si>
  <si>
    <t>Fort Rouge</t>
  </si>
  <si>
    <t>Synthetic backfill</t>
  </si>
  <si>
    <t>2018-02-01</t>
  </si>
  <si>
    <t>2019-01-31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</si>
</sst>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EB9C"/>
      </patternFill>
    </fill>
    <fill>
      <patternFill patternType="solid">
        <fgColor rgb="FFF2F7FF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2" fontId="5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2" fontId="5" fillId="8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6" x14ac:dyDescent="0.4"/>
  <cols>
    <col min="1" max="1" width="28" customWidth="1"/>
    <col min="2" max="2" width="70" customWidth="1"/>
  </cols>
  <sheetData>
    <row r="1" spans="1:2" ht="17.600000000000001" x14ac:dyDescent="0.4">
      <c r="A1" s="1" t="s">
        <v>0</v>
      </c>
      <c r="B1" s="1" t="s">
        <v>1</v>
      </c>
    </row>
    <row r="2" spans="1:2" x14ac:dyDescent="0.4">
      <c r="A2" s="2"/>
      <c r="B2" s="2"/>
    </row>
    <row r="3" spans="1:2" ht="28" customHeight="1" x14ac:dyDescent="0.4">
      <c r="A3" s="3" t="s">
        <v>2</v>
      </c>
      <c r="B3" s="4" t="s">
        <v>3</v>
      </c>
    </row>
    <row r="4" spans="1:2" ht="28" customHeight="1" x14ac:dyDescent="0.4">
      <c r="A4" s="3" t="s">
        <v>4</v>
      </c>
      <c r="B4" s="4" t="s">
        <v>5</v>
      </c>
    </row>
    <row r="5" spans="1:2" ht="28" customHeight="1" x14ac:dyDescent="0.4">
      <c r="A5" s="3" t="s">
        <v>6</v>
      </c>
      <c r="B5" s="4" t="s">
        <v>7</v>
      </c>
    </row>
    <row r="6" spans="1:2" ht="28" customHeight="1" x14ac:dyDescent="0.4">
      <c r="A6" s="3" t="s">
        <v>8</v>
      </c>
      <c r="B6" s="4" t="s">
        <v>9</v>
      </c>
    </row>
    <row r="7" spans="1:2" ht="28" customHeight="1" x14ac:dyDescent="0.4">
      <c r="A7" s="3" t="s">
        <v>10</v>
      </c>
      <c r="B7" s="4" t="s">
        <v>11</v>
      </c>
    </row>
    <row r="8" spans="1:2" ht="28" customHeight="1" x14ac:dyDescent="0.4">
      <c r="A8" s="3" t="s">
        <v>12</v>
      </c>
      <c r="B8" s="4" t="s">
        <v>13</v>
      </c>
    </row>
    <row r="9" spans="1:2" ht="28" customHeight="1" x14ac:dyDescent="0.4">
      <c r="A9" s="3" t="s">
        <v>14</v>
      </c>
      <c r="B9" s="4" t="s">
        <v>15</v>
      </c>
    </row>
    <row r="10" spans="1:2" ht="28" customHeight="1" x14ac:dyDescent="0.4">
      <c r="A10" s="3" t="s">
        <v>16</v>
      </c>
      <c r="B10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6" x14ac:dyDescent="0.4"/>
  <cols>
    <col min="1" max="1" width="8" customWidth="1"/>
    <col min="2" max="3" width="18" customWidth="1"/>
    <col min="4" max="4" width="14" customWidth="1"/>
    <col min="5" max="5" width="18" customWidth="1"/>
    <col min="6" max="6" width="22" customWidth="1"/>
    <col min="7" max="7" width="14" customWidth="1"/>
    <col min="8" max="8" width="50" customWidth="1"/>
  </cols>
  <sheetData>
    <row r="1" spans="1:8" ht="22" customHeight="1" x14ac:dyDescent="0.4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</row>
    <row r="2" spans="1:8" x14ac:dyDescent="0.4">
      <c r="A2" s="6">
        <v>2010</v>
      </c>
      <c r="B2" s="6">
        <v>180</v>
      </c>
      <c r="C2" s="6">
        <v>120</v>
      </c>
      <c r="D2" s="6">
        <f t="shared" ref="D2:D16" si="0">B2-C2</f>
        <v>60</v>
      </c>
      <c r="E2" s="6">
        <v>920</v>
      </c>
      <c r="F2" s="7">
        <v>0.18</v>
      </c>
      <c r="G2" s="8" t="s">
        <v>26</v>
      </c>
      <c r="H2" s="9" t="s">
        <v>27</v>
      </c>
    </row>
    <row r="3" spans="1:8" x14ac:dyDescent="0.4">
      <c r="A3" s="10">
        <v>2011</v>
      </c>
      <c r="B3" s="10">
        <v>175</v>
      </c>
      <c r="C3" s="10">
        <v>125</v>
      </c>
      <c r="D3" s="10">
        <f t="shared" si="0"/>
        <v>50</v>
      </c>
      <c r="E3" s="10">
        <v>970</v>
      </c>
      <c r="F3" s="7">
        <v>0.18</v>
      </c>
      <c r="G3" s="8" t="s">
        <v>26</v>
      </c>
      <c r="H3" s="11" t="s">
        <v>28</v>
      </c>
    </row>
    <row r="4" spans="1:8" x14ac:dyDescent="0.4">
      <c r="A4" s="6">
        <v>2012</v>
      </c>
      <c r="B4" s="6">
        <v>170</v>
      </c>
      <c r="C4" s="6">
        <v>130</v>
      </c>
      <c r="D4" s="6">
        <f t="shared" si="0"/>
        <v>40</v>
      </c>
      <c r="E4" s="6">
        <v>1010</v>
      </c>
      <c r="F4" s="7">
        <v>0.19</v>
      </c>
      <c r="G4" s="8" t="s">
        <v>26</v>
      </c>
      <c r="H4" s="9" t="s">
        <v>29</v>
      </c>
    </row>
    <row r="5" spans="1:8" x14ac:dyDescent="0.4">
      <c r="A5" s="10">
        <v>2013</v>
      </c>
      <c r="B5" s="10">
        <v>160</v>
      </c>
      <c r="C5" s="10">
        <v>150</v>
      </c>
      <c r="D5" s="10">
        <f t="shared" si="0"/>
        <v>10</v>
      </c>
      <c r="E5" s="10">
        <v>1020</v>
      </c>
      <c r="F5" s="7">
        <v>0.21</v>
      </c>
      <c r="G5" s="8" t="s">
        <v>26</v>
      </c>
      <c r="H5" s="11" t="s">
        <v>30</v>
      </c>
    </row>
    <row r="6" spans="1:8" x14ac:dyDescent="0.4">
      <c r="A6" s="6">
        <v>2014</v>
      </c>
      <c r="B6" s="6">
        <v>155</v>
      </c>
      <c r="C6" s="6">
        <v>160</v>
      </c>
      <c r="D6" s="6">
        <f t="shared" si="0"/>
        <v>-5</v>
      </c>
      <c r="E6" s="6">
        <v>1015</v>
      </c>
      <c r="F6" s="7">
        <v>0.22</v>
      </c>
      <c r="G6" s="8" t="s">
        <v>26</v>
      </c>
      <c r="H6" s="9" t="s">
        <v>31</v>
      </c>
    </row>
    <row r="7" spans="1:8" x14ac:dyDescent="0.4">
      <c r="A7" s="10">
        <v>2015</v>
      </c>
      <c r="B7" s="10">
        <v>150</v>
      </c>
      <c r="C7" s="10">
        <v>170</v>
      </c>
      <c r="D7" s="10">
        <f t="shared" si="0"/>
        <v>-20</v>
      </c>
      <c r="E7" s="10">
        <v>995</v>
      </c>
      <c r="F7" s="7">
        <v>0.24</v>
      </c>
      <c r="G7" s="8" t="s">
        <v>26</v>
      </c>
      <c r="H7" s="11" t="s">
        <v>32</v>
      </c>
    </row>
    <row r="8" spans="1:8" x14ac:dyDescent="0.4">
      <c r="A8" s="6">
        <v>2016</v>
      </c>
      <c r="B8" s="6">
        <v>145</v>
      </c>
      <c r="C8" s="6">
        <v>180</v>
      </c>
      <c r="D8" s="6">
        <f t="shared" si="0"/>
        <v>-35</v>
      </c>
      <c r="E8" s="6">
        <v>960</v>
      </c>
      <c r="F8" s="7">
        <v>0.25</v>
      </c>
      <c r="G8" s="8" t="s">
        <v>26</v>
      </c>
      <c r="H8" s="9" t="s">
        <v>33</v>
      </c>
    </row>
    <row r="9" spans="1:8" x14ac:dyDescent="0.4">
      <c r="A9" s="10">
        <v>2017</v>
      </c>
      <c r="B9" s="10">
        <v>140</v>
      </c>
      <c r="C9" s="10">
        <v>190</v>
      </c>
      <c r="D9" s="10">
        <f t="shared" si="0"/>
        <v>-50</v>
      </c>
      <c r="E9" s="10">
        <v>910</v>
      </c>
      <c r="F9" s="7">
        <v>0.27</v>
      </c>
      <c r="G9" s="8" t="s">
        <v>26</v>
      </c>
      <c r="H9" s="11" t="s">
        <v>34</v>
      </c>
    </row>
    <row r="10" spans="1:8" x14ac:dyDescent="0.4">
      <c r="A10" s="6">
        <v>2018</v>
      </c>
      <c r="B10" s="6">
        <v>135</v>
      </c>
      <c r="C10" s="6">
        <v>200</v>
      </c>
      <c r="D10" s="6">
        <f t="shared" si="0"/>
        <v>-65</v>
      </c>
      <c r="E10" s="6">
        <v>845</v>
      </c>
      <c r="F10" s="7">
        <v>0.28999999999999998</v>
      </c>
      <c r="G10" s="8" t="s">
        <v>26</v>
      </c>
      <c r="H10" s="9" t="s">
        <v>35</v>
      </c>
    </row>
    <row r="11" spans="1:8" x14ac:dyDescent="0.4">
      <c r="A11" s="10">
        <v>2019</v>
      </c>
      <c r="B11" s="10">
        <v>130</v>
      </c>
      <c r="C11" s="10">
        <v>210</v>
      </c>
      <c r="D11" s="10">
        <f t="shared" si="0"/>
        <v>-80</v>
      </c>
      <c r="E11" s="10">
        <v>765</v>
      </c>
      <c r="F11" s="7">
        <v>0.31</v>
      </c>
      <c r="G11" s="8" t="s">
        <v>26</v>
      </c>
      <c r="H11" s="11" t="s">
        <v>36</v>
      </c>
    </row>
    <row r="12" spans="1:8" x14ac:dyDescent="0.4">
      <c r="A12" s="6">
        <v>2020</v>
      </c>
      <c r="B12" s="6">
        <v>90</v>
      </c>
      <c r="C12" s="6">
        <v>260</v>
      </c>
      <c r="D12" s="6">
        <f t="shared" si="0"/>
        <v>-170</v>
      </c>
      <c r="E12" s="6">
        <v>595</v>
      </c>
      <c r="F12" s="7">
        <v>0.42</v>
      </c>
      <c r="G12" s="12" t="s">
        <v>37</v>
      </c>
      <c r="H12" s="9" t="s">
        <v>38</v>
      </c>
    </row>
    <row r="13" spans="1:8" x14ac:dyDescent="0.4">
      <c r="A13" s="10">
        <v>2021</v>
      </c>
      <c r="B13" s="10">
        <v>95</v>
      </c>
      <c r="C13" s="10">
        <v>240</v>
      </c>
      <c r="D13" s="10">
        <f t="shared" si="0"/>
        <v>-145</v>
      </c>
      <c r="E13" s="10">
        <v>450</v>
      </c>
      <c r="F13" s="7">
        <v>0.45</v>
      </c>
      <c r="G13" s="12" t="s">
        <v>37</v>
      </c>
      <c r="H13" s="11" t="s">
        <v>39</v>
      </c>
    </row>
    <row r="14" spans="1:8" x14ac:dyDescent="0.4">
      <c r="A14" s="6">
        <v>2022</v>
      </c>
      <c r="B14" s="6">
        <v>120</v>
      </c>
      <c r="C14" s="6">
        <v>180</v>
      </c>
      <c r="D14" s="6">
        <f t="shared" si="0"/>
        <v>-60</v>
      </c>
      <c r="E14" s="6">
        <v>390</v>
      </c>
      <c r="F14" s="7">
        <v>0.4</v>
      </c>
      <c r="G14" s="12" t="s">
        <v>37</v>
      </c>
      <c r="H14" s="9" t="s">
        <v>40</v>
      </c>
    </row>
    <row r="15" spans="1:8" x14ac:dyDescent="0.4">
      <c r="A15" s="10">
        <v>2023</v>
      </c>
      <c r="B15" s="10">
        <v>140</v>
      </c>
      <c r="C15" s="10">
        <v>160</v>
      </c>
      <c r="D15" s="10">
        <f t="shared" si="0"/>
        <v>-20</v>
      </c>
      <c r="E15" s="10">
        <v>370</v>
      </c>
      <c r="F15" s="7">
        <v>0.36</v>
      </c>
      <c r="G15" s="12" t="s">
        <v>37</v>
      </c>
      <c r="H15" s="11" t="s">
        <v>41</v>
      </c>
    </row>
    <row r="16" spans="1:8" x14ac:dyDescent="0.4">
      <c r="A16" s="6">
        <v>2024</v>
      </c>
      <c r="B16" s="6">
        <v>155</v>
      </c>
      <c r="C16" s="6">
        <v>150</v>
      </c>
      <c r="D16" s="6">
        <f t="shared" si="0"/>
        <v>5</v>
      </c>
      <c r="E16" s="6">
        <v>375</v>
      </c>
      <c r="F16" s="7">
        <v>0.33</v>
      </c>
      <c r="G16" s="12" t="s">
        <v>37</v>
      </c>
      <c r="H16" s="9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6" x14ac:dyDescent="0.4"/>
  <cols>
    <col min="1" max="1" width="8" customWidth="1"/>
    <col min="2" max="3" width="18" customWidth="1"/>
    <col min="4" max="4" width="14" customWidth="1"/>
    <col min="5" max="5" width="18" customWidth="1"/>
    <col min="6" max="6" width="22" customWidth="1"/>
    <col min="7" max="7" width="14" customWidth="1"/>
    <col min="8" max="8" width="50" customWidth="1"/>
  </cols>
  <sheetData>
    <row r="1" spans="1:8" ht="22" customHeight="1" x14ac:dyDescent="0.4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</row>
    <row r="2" spans="1:8" x14ac:dyDescent="0.4">
      <c r="A2" s="6">
        <v>2010</v>
      </c>
      <c r="B2" s="6">
        <v>60</v>
      </c>
      <c r="C2" s="6">
        <v>40</v>
      </c>
      <c r="D2" s="6">
        <f t="shared" ref="D2:D16" si="0">B2-C2</f>
        <v>20</v>
      </c>
      <c r="E2" s="6">
        <v>410</v>
      </c>
      <c r="F2" s="7">
        <v>0.14000000000000001</v>
      </c>
      <c r="G2" s="8" t="s">
        <v>26</v>
      </c>
      <c r="H2" s="9" t="s">
        <v>43</v>
      </c>
    </row>
    <row r="3" spans="1:8" x14ac:dyDescent="0.4">
      <c r="A3" s="10">
        <v>2011</v>
      </c>
      <c r="B3" s="10">
        <v>58</v>
      </c>
      <c r="C3" s="10">
        <v>42</v>
      </c>
      <c r="D3" s="10">
        <f t="shared" si="0"/>
        <v>16</v>
      </c>
      <c r="E3" s="10">
        <v>426</v>
      </c>
      <c r="F3" s="7">
        <v>0.14000000000000001</v>
      </c>
      <c r="G3" s="8" t="s">
        <v>26</v>
      </c>
      <c r="H3" s="11" t="s">
        <v>44</v>
      </c>
    </row>
    <row r="4" spans="1:8" x14ac:dyDescent="0.4">
      <c r="A4" s="6">
        <v>2012</v>
      </c>
      <c r="B4" s="6">
        <v>57</v>
      </c>
      <c r="C4" s="6">
        <v>44</v>
      </c>
      <c r="D4" s="6">
        <f t="shared" si="0"/>
        <v>13</v>
      </c>
      <c r="E4" s="6">
        <v>439</v>
      </c>
      <c r="F4" s="7">
        <v>0.15</v>
      </c>
      <c r="G4" s="8" t="s">
        <v>26</v>
      </c>
      <c r="H4" s="9" t="s">
        <v>45</v>
      </c>
    </row>
    <row r="5" spans="1:8" x14ac:dyDescent="0.4">
      <c r="A5" s="10">
        <v>2013</v>
      </c>
      <c r="B5" s="10">
        <v>55</v>
      </c>
      <c r="C5" s="10">
        <v>45</v>
      </c>
      <c r="D5" s="10">
        <f t="shared" si="0"/>
        <v>10</v>
      </c>
      <c r="E5" s="10">
        <v>449</v>
      </c>
      <c r="F5" s="7">
        <v>0.16</v>
      </c>
      <c r="G5" s="8" t="s">
        <v>26</v>
      </c>
      <c r="H5" s="11" t="s">
        <v>46</v>
      </c>
    </row>
    <row r="6" spans="1:8" x14ac:dyDescent="0.4">
      <c r="A6" s="6">
        <v>2014</v>
      </c>
      <c r="B6" s="6">
        <v>54</v>
      </c>
      <c r="C6" s="6">
        <v>48</v>
      </c>
      <c r="D6" s="6">
        <f t="shared" si="0"/>
        <v>6</v>
      </c>
      <c r="E6" s="6">
        <v>455</v>
      </c>
      <c r="F6" s="7">
        <v>0.16</v>
      </c>
      <c r="G6" s="8" t="s">
        <v>26</v>
      </c>
      <c r="H6" s="9" t="s">
        <v>47</v>
      </c>
    </row>
    <row r="7" spans="1:8" x14ac:dyDescent="0.4">
      <c r="A7" s="10">
        <v>2015</v>
      </c>
      <c r="B7" s="10">
        <v>52</v>
      </c>
      <c r="C7" s="10">
        <v>52</v>
      </c>
      <c r="D7" s="10">
        <f t="shared" si="0"/>
        <v>0</v>
      </c>
      <c r="E7" s="10">
        <v>455</v>
      </c>
      <c r="F7" s="7">
        <v>0.17</v>
      </c>
      <c r="G7" s="8" t="s">
        <v>26</v>
      </c>
      <c r="H7" s="11" t="s">
        <v>48</v>
      </c>
    </row>
    <row r="8" spans="1:8" x14ac:dyDescent="0.4">
      <c r="A8" s="6">
        <v>2016</v>
      </c>
      <c r="B8" s="6">
        <v>50</v>
      </c>
      <c r="C8" s="6">
        <v>60</v>
      </c>
      <c r="D8" s="6">
        <f t="shared" si="0"/>
        <v>-10</v>
      </c>
      <c r="E8" s="6">
        <v>445</v>
      </c>
      <c r="F8" s="7">
        <v>0.18</v>
      </c>
      <c r="G8" s="8" t="s">
        <v>26</v>
      </c>
      <c r="H8" s="9" t="s">
        <v>49</v>
      </c>
    </row>
    <row r="9" spans="1:8" x14ac:dyDescent="0.4">
      <c r="A9" s="10">
        <v>2017</v>
      </c>
      <c r="B9" s="10">
        <v>48</v>
      </c>
      <c r="C9" s="10">
        <v>63</v>
      </c>
      <c r="D9" s="10">
        <f t="shared" si="0"/>
        <v>-15</v>
      </c>
      <c r="E9" s="10">
        <v>430</v>
      </c>
      <c r="F9" s="7">
        <v>0.19</v>
      </c>
      <c r="G9" s="8" t="s">
        <v>26</v>
      </c>
      <c r="H9" s="11" t="s">
        <v>50</v>
      </c>
    </row>
    <row r="10" spans="1:8" x14ac:dyDescent="0.4">
      <c r="A10" s="6">
        <v>2018</v>
      </c>
      <c r="B10" s="6">
        <v>46</v>
      </c>
      <c r="C10" s="6">
        <v>67</v>
      </c>
      <c r="D10" s="6">
        <f t="shared" si="0"/>
        <v>-21</v>
      </c>
      <c r="E10" s="6">
        <v>409</v>
      </c>
      <c r="F10" s="7">
        <v>0.21</v>
      </c>
      <c r="G10" s="8" t="s">
        <v>26</v>
      </c>
      <c r="H10" s="9" t="s">
        <v>51</v>
      </c>
    </row>
    <row r="11" spans="1:8" x14ac:dyDescent="0.4">
      <c r="A11" s="10">
        <v>2019</v>
      </c>
      <c r="B11" s="10">
        <v>45</v>
      </c>
      <c r="C11" s="10">
        <v>70</v>
      </c>
      <c r="D11" s="10">
        <f t="shared" si="0"/>
        <v>-25</v>
      </c>
      <c r="E11" s="10">
        <v>384</v>
      </c>
      <c r="F11" s="7">
        <v>0.22</v>
      </c>
      <c r="G11" s="8" t="s">
        <v>26</v>
      </c>
      <c r="H11" s="11" t="s">
        <v>52</v>
      </c>
    </row>
    <row r="12" spans="1:8" x14ac:dyDescent="0.4">
      <c r="A12" s="6">
        <v>2020</v>
      </c>
      <c r="B12" s="6">
        <v>30</v>
      </c>
      <c r="C12" s="6">
        <v>90</v>
      </c>
      <c r="D12" s="6">
        <f t="shared" si="0"/>
        <v>-60</v>
      </c>
      <c r="E12" s="6">
        <v>324</v>
      </c>
      <c r="F12" s="7">
        <v>0.38</v>
      </c>
      <c r="G12" s="12" t="s">
        <v>37</v>
      </c>
      <c r="H12" s="9" t="s">
        <v>53</v>
      </c>
    </row>
    <row r="13" spans="1:8" x14ac:dyDescent="0.4">
      <c r="A13" s="10">
        <v>2021</v>
      </c>
      <c r="B13" s="10">
        <v>32</v>
      </c>
      <c r="C13" s="10">
        <v>75</v>
      </c>
      <c r="D13" s="10">
        <f t="shared" si="0"/>
        <v>-43</v>
      </c>
      <c r="E13" s="10">
        <v>281</v>
      </c>
      <c r="F13" s="7">
        <v>0.36</v>
      </c>
      <c r="G13" s="12" t="s">
        <v>37</v>
      </c>
      <c r="H13" s="11" t="s">
        <v>54</v>
      </c>
    </row>
    <row r="14" spans="1:8" x14ac:dyDescent="0.4">
      <c r="A14" s="6">
        <v>2022</v>
      </c>
      <c r="B14" s="6">
        <v>40</v>
      </c>
      <c r="C14" s="6">
        <v>65</v>
      </c>
      <c r="D14" s="6">
        <f t="shared" si="0"/>
        <v>-25</v>
      </c>
      <c r="E14" s="6">
        <v>256</v>
      </c>
      <c r="F14" s="7">
        <v>0.34</v>
      </c>
      <c r="G14" s="12" t="s">
        <v>37</v>
      </c>
      <c r="H14" s="9" t="s">
        <v>55</v>
      </c>
    </row>
    <row r="15" spans="1:8" x14ac:dyDescent="0.4">
      <c r="A15" s="10">
        <v>2023</v>
      </c>
      <c r="B15" s="10">
        <v>48</v>
      </c>
      <c r="C15" s="10">
        <v>55</v>
      </c>
      <c r="D15" s="10">
        <f t="shared" si="0"/>
        <v>-7</v>
      </c>
      <c r="E15" s="10">
        <v>249</v>
      </c>
      <c r="F15" s="7">
        <v>0.31</v>
      </c>
      <c r="G15" s="12" t="s">
        <v>37</v>
      </c>
      <c r="H15" s="11" t="s">
        <v>56</v>
      </c>
    </row>
    <row r="16" spans="1:8" x14ac:dyDescent="0.4">
      <c r="A16" s="6">
        <v>2024</v>
      </c>
      <c r="B16" s="6">
        <v>55</v>
      </c>
      <c r="C16" s="6">
        <v>50</v>
      </c>
      <c r="D16" s="6">
        <f t="shared" si="0"/>
        <v>5</v>
      </c>
      <c r="E16" s="6">
        <v>254</v>
      </c>
      <c r="F16" s="7">
        <v>0.3</v>
      </c>
      <c r="G16" s="12" t="s">
        <v>37</v>
      </c>
      <c r="H16" s="9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4.6" x14ac:dyDescent="0.4"/>
  <cols>
    <col min="1" max="1" width="8" customWidth="1"/>
    <col min="2" max="3" width="18" customWidth="1"/>
    <col min="4" max="4" width="14" customWidth="1"/>
    <col min="5" max="5" width="18" customWidth="1"/>
    <col min="6" max="6" width="22" customWidth="1"/>
    <col min="7" max="7" width="14" customWidth="1"/>
    <col min="8" max="8" width="50" customWidth="1"/>
  </cols>
  <sheetData>
    <row r="1" spans="1:8" ht="22" customHeight="1" x14ac:dyDescent="0.4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</row>
    <row r="2" spans="1:8" x14ac:dyDescent="0.4">
      <c r="A2" s="6">
        <v>2010</v>
      </c>
      <c r="B2" s="6">
        <v>95</v>
      </c>
      <c r="C2" s="6">
        <v>60</v>
      </c>
      <c r="D2" s="6">
        <f t="shared" ref="D2:D16" si="0">B2-C2</f>
        <v>35</v>
      </c>
      <c r="E2" s="6">
        <v>580</v>
      </c>
      <c r="F2" s="7">
        <v>0.15</v>
      </c>
      <c r="G2" s="8" t="s">
        <v>26</v>
      </c>
      <c r="H2" s="9" t="s">
        <v>58</v>
      </c>
    </row>
    <row r="3" spans="1:8" x14ac:dyDescent="0.4">
      <c r="A3" s="10">
        <v>2011</v>
      </c>
      <c r="B3" s="10">
        <v>98</v>
      </c>
      <c r="C3" s="10">
        <v>62</v>
      </c>
      <c r="D3" s="10">
        <f t="shared" si="0"/>
        <v>36</v>
      </c>
      <c r="E3" s="10">
        <v>616</v>
      </c>
      <c r="F3" s="7">
        <v>0.15</v>
      </c>
      <c r="G3" s="8" t="s">
        <v>26</v>
      </c>
      <c r="H3" s="11" t="s">
        <v>59</v>
      </c>
    </row>
    <row r="4" spans="1:8" x14ac:dyDescent="0.4">
      <c r="A4" s="6">
        <v>2012</v>
      </c>
      <c r="B4" s="6">
        <v>95</v>
      </c>
      <c r="C4" s="6">
        <v>66</v>
      </c>
      <c r="D4" s="6">
        <f t="shared" si="0"/>
        <v>29</v>
      </c>
      <c r="E4" s="6">
        <v>645</v>
      </c>
      <c r="F4" s="7">
        <v>0.16</v>
      </c>
      <c r="G4" s="8" t="s">
        <v>26</v>
      </c>
      <c r="H4" s="9" t="s">
        <v>45</v>
      </c>
    </row>
    <row r="5" spans="1:8" x14ac:dyDescent="0.4">
      <c r="A5" s="10">
        <v>2013</v>
      </c>
      <c r="B5" s="10">
        <v>90</v>
      </c>
      <c r="C5" s="10">
        <v>72</v>
      </c>
      <c r="D5" s="10">
        <f t="shared" si="0"/>
        <v>18</v>
      </c>
      <c r="E5" s="10">
        <v>663</v>
      </c>
      <c r="F5" s="7">
        <v>0.17</v>
      </c>
      <c r="G5" s="8" t="s">
        <v>26</v>
      </c>
      <c r="H5" s="11" t="s">
        <v>60</v>
      </c>
    </row>
    <row r="6" spans="1:8" x14ac:dyDescent="0.4">
      <c r="A6" s="6">
        <v>2014</v>
      </c>
      <c r="B6" s="6">
        <v>88</v>
      </c>
      <c r="C6" s="6">
        <v>78</v>
      </c>
      <c r="D6" s="6">
        <f t="shared" si="0"/>
        <v>10</v>
      </c>
      <c r="E6" s="6">
        <v>673</v>
      </c>
      <c r="F6" s="7">
        <v>0.18</v>
      </c>
      <c r="G6" s="8" t="s">
        <v>26</v>
      </c>
      <c r="H6" s="9" t="s">
        <v>61</v>
      </c>
    </row>
    <row r="7" spans="1:8" x14ac:dyDescent="0.4">
      <c r="A7" s="10">
        <v>2015</v>
      </c>
      <c r="B7" s="10">
        <v>85</v>
      </c>
      <c r="C7" s="10">
        <v>82</v>
      </c>
      <c r="D7" s="10">
        <f t="shared" si="0"/>
        <v>3</v>
      </c>
      <c r="E7" s="10">
        <v>676</v>
      </c>
      <c r="F7" s="7">
        <v>0.19</v>
      </c>
      <c r="G7" s="8" t="s">
        <v>26</v>
      </c>
      <c r="H7" s="11" t="s">
        <v>62</v>
      </c>
    </row>
    <row r="8" spans="1:8" x14ac:dyDescent="0.4">
      <c r="A8" s="6">
        <v>2016</v>
      </c>
      <c r="B8" s="6">
        <v>82</v>
      </c>
      <c r="C8" s="6">
        <v>88</v>
      </c>
      <c r="D8" s="6">
        <f t="shared" si="0"/>
        <v>-6</v>
      </c>
      <c r="E8" s="6">
        <v>670</v>
      </c>
      <c r="F8" s="7">
        <v>0.2</v>
      </c>
      <c r="G8" s="8" t="s">
        <v>26</v>
      </c>
      <c r="H8" s="9" t="s">
        <v>63</v>
      </c>
    </row>
    <row r="9" spans="1:8" x14ac:dyDescent="0.4">
      <c r="A9" s="10">
        <v>2017</v>
      </c>
      <c r="B9" s="10">
        <v>80</v>
      </c>
      <c r="C9" s="10">
        <v>90</v>
      </c>
      <c r="D9" s="10">
        <f t="shared" si="0"/>
        <v>-10</v>
      </c>
      <c r="E9" s="10">
        <v>660</v>
      </c>
      <c r="F9" s="7">
        <v>0.21</v>
      </c>
      <c r="G9" s="8" t="s">
        <v>26</v>
      </c>
      <c r="H9" s="11" t="s">
        <v>64</v>
      </c>
    </row>
    <row r="10" spans="1:8" x14ac:dyDescent="0.4">
      <c r="A10" s="6">
        <v>2018</v>
      </c>
      <c r="B10" s="6">
        <v>78</v>
      </c>
      <c r="C10" s="6">
        <v>95</v>
      </c>
      <c r="D10" s="6">
        <f t="shared" si="0"/>
        <v>-17</v>
      </c>
      <c r="E10" s="6">
        <v>643</v>
      </c>
      <c r="F10" s="7">
        <v>0.23</v>
      </c>
      <c r="G10" s="8" t="s">
        <v>26</v>
      </c>
      <c r="H10" s="9" t="s">
        <v>65</v>
      </c>
    </row>
    <row r="11" spans="1:8" x14ac:dyDescent="0.4">
      <c r="A11" s="10">
        <v>2019</v>
      </c>
      <c r="B11" s="10">
        <v>75</v>
      </c>
      <c r="C11" s="10">
        <v>100</v>
      </c>
      <c r="D11" s="10">
        <f t="shared" si="0"/>
        <v>-25</v>
      </c>
      <c r="E11" s="10">
        <v>618</v>
      </c>
      <c r="F11" s="7">
        <v>0.25</v>
      </c>
      <c r="G11" s="8" t="s">
        <v>26</v>
      </c>
      <c r="H11" s="11" t="s">
        <v>66</v>
      </c>
    </row>
    <row r="12" spans="1:8" x14ac:dyDescent="0.4">
      <c r="A12" s="6">
        <v>2020</v>
      </c>
      <c r="B12" s="6">
        <v>40</v>
      </c>
      <c r="C12" s="6">
        <v>160</v>
      </c>
      <c r="D12" s="6">
        <f t="shared" si="0"/>
        <v>-120</v>
      </c>
      <c r="E12" s="6">
        <v>498</v>
      </c>
      <c r="F12" s="7">
        <v>0.44</v>
      </c>
      <c r="G12" s="12" t="s">
        <v>37</v>
      </c>
      <c r="H12" s="9" t="s">
        <v>67</v>
      </c>
    </row>
    <row r="13" spans="1:8" x14ac:dyDescent="0.4">
      <c r="A13" s="10">
        <v>2021</v>
      </c>
      <c r="B13" s="10">
        <v>55</v>
      </c>
      <c r="C13" s="10">
        <v>130</v>
      </c>
      <c r="D13" s="10">
        <f t="shared" si="0"/>
        <v>-75</v>
      </c>
      <c r="E13" s="10">
        <v>423</v>
      </c>
      <c r="F13" s="7">
        <v>0.42</v>
      </c>
      <c r="G13" s="12" t="s">
        <v>37</v>
      </c>
      <c r="H13" s="11" t="s">
        <v>68</v>
      </c>
    </row>
    <row r="14" spans="1:8" x14ac:dyDescent="0.4">
      <c r="A14" s="6">
        <v>2022</v>
      </c>
      <c r="B14" s="6">
        <v>80</v>
      </c>
      <c r="C14" s="6">
        <v>100</v>
      </c>
      <c r="D14" s="6">
        <f t="shared" si="0"/>
        <v>-20</v>
      </c>
      <c r="E14" s="6">
        <v>403</v>
      </c>
      <c r="F14" s="7">
        <v>0.38</v>
      </c>
      <c r="G14" s="12" t="s">
        <v>37</v>
      </c>
      <c r="H14" s="9" t="s">
        <v>69</v>
      </c>
    </row>
    <row r="15" spans="1:8" x14ac:dyDescent="0.4">
      <c r="A15" s="10">
        <v>2023</v>
      </c>
      <c r="B15" s="10">
        <v>95</v>
      </c>
      <c r="C15" s="10">
        <v>88</v>
      </c>
      <c r="D15" s="10">
        <f t="shared" si="0"/>
        <v>7</v>
      </c>
      <c r="E15" s="10">
        <v>410</v>
      </c>
      <c r="F15" s="7">
        <v>0.34</v>
      </c>
      <c r="G15" s="12" t="s">
        <v>37</v>
      </c>
      <c r="H15" s="11" t="s">
        <v>70</v>
      </c>
    </row>
    <row r="16" spans="1:8" x14ac:dyDescent="0.4">
      <c r="A16" s="6">
        <v>2024</v>
      </c>
      <c r="B16" s="6">
        <v>105</v>
      </c>
      <c r="C16" s="6">
        <v>80</v>
      </c>
      <c r="D16" s="6">
        <f t="shared" si="0"/>
        <v>25</v>
      </c>
      <c r="E16" s="6">
        <v>435</v>
      </c>
      <c r="F16" s="7">
        <v>0.3</v>
      </c>
      <c r="G16" s="12" t="s">
        <v>37</v>
      </c>
      <c r="H16" s="9" t="s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4.6" x14ac:dyDescent="0.4"/>
  <cols>
    <col min="1" max="1" width="8" customWidth="1"/>
    <col min="2" max="3" width="16" customWidth="1"/>
    <col min="4" max="4" width="18" customWidth="1"/>
    <col min="5" max="5" width="14" customWidth="1"/>
    <col min="6" max="6" width="20" customWidth="1"/>
    <col min="7" max="7" width="18" customWidth="1"/>
    <col min="8" max="8" width="48" customWidth="1"/>
  </cols>
  <sheetData>
    <row r="1" spans="1:8" ht="22" customHeight="1" x14ac:dyDescent="0.4">
      <c r="A1" s="5" t="s">
        <v>18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</row>
    <row r="2" spans="1:8" x14ac:dyDescent="0.4">
      <c r="A2" s="6">
        <v>2010</v>
      </c>
      <c r="B2" s="6">
        <v>920</v>
      </c>
      <c r="C2" s="6">
        <v>410</v>
      </c>
      <c r="D2" s="6">
        <v>580</v>
      </c>
      <c r="E2" s="6">
        <f t="shared" ref="E2:E16" si="0">B2+C2+D2</f>
        <v>1910</v>
      </c>
      <c r="F2" s="13">
        <v>0.18</v>
      </c>
      <c r="G2" s="6">
        <f>115</f>
        <v>115</v>
      </c>
      <c r="H2" s="11" t="s">
        <v>79</v>
      </c>
    </row>
    <row r="3" spans="1:8" x14ac:dyDescent="0.4">
      <c r="A3" s="10">
        <v>2011</v>
      </c>
      <c r="B3" s="10">
        <v>970</v>
      </c>
      <c r="C3" s="10">
        <v>426</v>
      </c>
      <c r="D3" s="10">
        <v>616</v>
      </c>
      <c r="E3" s="10">
        <f t="shared" si="0"/>
        <v>2012</v>
      </c>
      <c r="F3" s="7">
        <v>0.18</v>
      </c>
      <c r="G3" s="10">
        <f>102</f>
        <v>102</v>
      </c>
      <c r="H3" s="11"/>
    </row>
    <row r="4" spans="1:8" x14ac:dyDescent="0.4">
      <c r="A4" s="6">
        <v>2012</v>
      </c>
      <c r="B4" s="6">
        <v>1010</v>
      </c>
      <c r="C4" s="6">
        <v>439</v>
      </c>
      <c r="D4" s="6">
        <v>645</v>
      </c>
      <c r="E4" s="6">
        <f t="shared" si="0"/>
        <v>2094</v>
      </c>
      <c r="F4" s="13">
        <v>0.19</v>
      </c>
      <c r="G4" s="6">
        <f>82</f>
        <v>82</v>
      </c>
      <c r="H4" s="11"/>
    </row>
    <row r="5" spans="1:8" x14ac:dyDescent="0.4">
      <c r="A5" s="14">
        <v>2013</v>
      </c>
      <c r="B5" s="14">
        <v>1020</v>
      </c>
      <c r="C5" s="14">
        <v>449</v>
      </c>
      <c r="D5" s="14">
        <v>663</v>
      </c>
      <c r="E5" s="14">
        <f t="shared" si="0"/>
        <v>2132</v>
      </c>
      <c r="F5" s="15">
        <v>0.21</v>
      </c>
      <c r="G5" s="14">
        <f>38</f>
        <v>38</v>
      </c>
      <c r="H5" s="16" t="s">
        <v>30</v>
      </c>
    </row>
    <row r="6" spans="1:8" x14ac:dyDescent="0.4">
      <c r="A6" s="6">
        <v>2014</v>
      </c>
      <c r="B6" s="6">
        <v>1015</v>
      </c>
      <c r="C6" s="6">
        <v>455</v>
      </c>
      <c r="D6" s="6">
        <v>673</v>
      </c>
      <c r="E6" s="6">
        <f t="shared" si="0"/>
        <v>2143</v>
      </c>
      <c r="F6" s="13">
        <v>0.22</v>
      </c>
      <c r="G6" s="6">
        <f>11</f>
        <v>11</v>
      </c>
      <c r="H6" s="11"/>
    </row>
    <row r="7" spans="1:8" x14ac:dyDescent="0.4">
      <c r="A7" s="10">
        <v>2015</v>
      </c>
      <c r="B7" s="10">
        <v>995</v>
      </c>
      <c r="C7" s="10">
        <v>455</v>
      </c>
      <c r="D7" s="10">
        <v>676</v>
      </c>
      <c r="E7" s="10">
        <f t="shared" si="0"/>
        <v>2126</v>
      </c>
      <c r="F7" s="7">
        <v>0.24</v>
      </c>
      <c r="G7" s="10">
        <f>-17</f>
        <v>-17</v>
      </c>
      <c r="H7" s="11"/>
    </row>
    <row r="8" spans="1:8" x14ac:dyDescent="0.4">
      <c r="A8" s="6">
        <v>2016</v>
      </c>
      <c r="B8" s="6">
        <v>960</v>
      </c>
      <c r="C8" s="6">
        <v>445</v>
      </c>
      <c r="D8" s="6">
        <v>670</v>
      </c>
      <c r="E8" s="6">
        <f t="shared" si="0"/>
        <v>2075</v>
      </c>
      <c r="F8" s="13">
        <v>0.25</v>
      </c>
      <c r="G8" s="6">
        <f>-51</f>
        <v>-51</v>
      </c>
      <c r="H8" s="11" t="s">
        <v>80</v>
      </c>
    </row>
    <row r="9" spans="1:8" x14ac:dyDescent="0.4">
      <c r="A9" s="10">
        <v>2017</v>
      </c>
      <c r="B9" s="10">
        <v>910</v>
      </c>
      <c r="C9" s="10">
        <v>430</v>
      </c>
      <c r="D9" s="10">
        <v>660</v>
      </c>
      <c r="E9" s="10">
        <f t="shared" si="0"/>
        <v>2000</v>
      </c>
      <c r="F9" s="7">
        <v>0.27</v>
      </c>
      <c r="G9" s="10">
        <f>-75</f>
        <v>-75</v>
      </c>
      <c r="H9" s="11"/>
    </row>
    <row r="10" spans="1:8" x14ac:dyDescent="0.4">
      <c r="A10" s="6">
        <v>2018</v>
      </c>
      <c r="B10" s="6">
        <v>845</v>
      </c>
      <c r="C10" s="6">
        <v>409</v>
      </c>
      <c r="D10" s="6">
        <v>643</v>
      </c>
      <c r="E10" s="6">
        <f t="shared" si="0"/>
        <v>1897</v>
      </c>
      <c r="F10" s="13">
        <v>0.28999999999999998</v>
      </c>
      <c r="G10" s="6">
        <f>-103</f>
        <v>-103</v>
      </c>
      <c r="H10" s="11"/>
    </row>
    <row r="11" spans="1:8" x14ac:dyDescent="0.4">
      <c r="A11" s="10">
        <v>2019</v>
      </c>
      <c r="B11" s="10">
        <v>765</v>
      </c>
      <c r="C11" s="10">
        <v>384</v>
      </c>
      <c r="D11" s="10">
        <v>618</v>
      </c>
      <c r="E11" s="10">
        <f t="shared" si="0"/>
        <v>1767</v>
      </c>
      <c r="F11" s="7">
        <v>0.31</v>
      </c>
      <c r="G11" s="10">
        <f>-130</f>
        <v>-130</v>
      </c>
      <c r="H11" s="11" t="s">
        <v>81</v>
      </c>
    </row>
    <row r="12" spans="1:8" x14ac:dyDescent="0.4">
      <c r="A12" s="17">
        <v>2020</v>
      </c>
      <c r="B12" s="17">
        <v>595</v>
      </c>
      <c r="C12" s="17">
        <v>324</v>
      </c>
      <c r="D12" s="17">
        <v>498</v>
      </c>
      <c r="E12" s="17">
        <f t="shared" si="0"/>
        <v>1417</v>
      </c>
      <c r="F12" s="18">
        <v>0.42</v>
      </c>
      <c r="G12" s="17">
        <f>-350</f>
        <v>-350</v>
      </c>
      <c r="H12" s="19" t="s">
        <v>82</v>
      </c>
    </row>
    <row r="13" spans="1:8" x14ac:dyDescent="0.4">
      <c r="A13" s="10">
        <v>2021</v>
      </c>
      <c r="B13" s="10">
        <v>450</v>
      </c>
      <c r="C13" s="10">
        <v>281</v>
      </c>
      <c r="D13" s="10">
        <v>423</v>
      </c>
      <c r="E13" s="10">
        <f t="shared" si="0"/>
        <v>1154</v>
      </c>
      <c r="F13" s="7">
        <v>0.45</v>
      </c>
      <c r="G13" s="10">
        <f>-263</f>
        <v>-263</v>
      </c>
      <c r="H13" s="11" t="s">
        <v>83</v>
      </c>
    </row>
    <row r="14" spans="1:8" x14ac:dyDescent="0.4">
      <c r="A14" s="6">
        <v>2022</v>
      </c>
      <c r="B14" s="6">
        <v>390</v>
      </c>
      <c r="C14" s="6">
        <v>256</v>
      </c>
      <c r="D14" s="6">
        <v>403</v>
      </c>
      <c r="E14" s="6">
        <f t="shared" si="0"/>
        <v>1049</v>
      </c>
      <c r="F14" s="13">
        <v>0.4</v>
      </c>
      <c r="G14" s="6">
        <f>-105</f>
        <v>-105</v>
      </c>
      <c r="H14" s="11" t="s">
        <v>84</v>
      </c>
    </row>
    <row r="15" spans="1:8" x14ac:dyDescent="0.4">
      <c r="A15" s="14">
        <v>2023</v>
      </c>
      <c r="B15" s="14">
        <v>370</v>
      </c>
      <c r="C15" s="14">
        <v>249</v>
      </c>
      <c r="D15" s="14">
        <v>410</v>
      </c>
      <c r="E15" s="14">
        <f t="shared" si="0"/>
        <v>1029</v>
      </c>
      <c r="F15" s="15">
        <v>0.36</v>
      </c>
      <c r="G15" s="14">
        <f>-20</f>
        <v>-20</v>
      </c>
      <c r="H15" s="16" t="s">
        <v>85</v>
      </c>
    </row>
    <row r="16" spans="1:8" x14ac:dyDescent="0.4">
      <c r="A16" s="6">
        <v>2024</v>
      </c>
      <c r="B16" s="6">
        <v>375</v>
      </c>
      <c r="C16" s="6">
        <v>254</v>
      </c>
      <c r="D16" s="6">
        <v>435</v>
      </c>
      <c r="E16" s="6">
        <f t="shared" si="0"/>
        <v>1064</v>
      </c>
      <c r="F16" s="13">
        <v>0.33</v>
      </c>
      <c r="G16" s="6">
        <f>35</f>
        <v>35</v>
      </c>
      <c r="H16" s="11" t="s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"/>
  <sheetViews>
    <sheetView tabSelected="1" workbookViewId="0"/>
  </sheetViews>
  <sheetFormatPr defaultRowHeight="14.6" x14ac:dyDescent="0.4"/>
  <cols>
    <col min="1" max="1" width="14" customWidth="1"/>
    <col min="2" max="2" width="22" customWidth="1"/>
    <col min="3" max="3" width="18" customWidth="1"/>
    <col min="4" max="4" width="22" customWidth="1"/>
    <col min="5" max="5" width="20" customWidth="1"/>
    <col min="6" max="7" width="14" customWidth="1"/>
    <col min="8" max="8" width="18" customWidth="1"/>
    <col min="9" max="9" width="16" customWidth="1"/>
    <col min="10" max="10" width="22" customWidth="1"/>
    <col min="11" max="11" width="18" customWidth="1"/>
    <col min="12" max="12" width="20" customWidth="1"/>
    <col min="13" max="13" width="14" customWidth="1"/>
    <col min="14" max="14" width="30" customWidth="1"/>
  </cols>
  <sheetData>
    <row r="1" spans="1:14" ht="22" customHeight="1" x14ac:dyDescent="0.4">
      <c r="A1" s="5" t="s">
        <v>87</v>
      </c>
      <c r="B1" s="5" t="s">
        <v>88</v>
      </c>
      <c r="C1" s="5" t="s">
        <v>89</v>
      </c>
      <c r="D1" s="5" t="s">
        <v>90</v>
      </c>
      <c r="E1" s="5" t="s">
        <v>91</v>
      </c>
      <c r="F1" s="5" t="s">
        <v>92</v>
      </c>
      <c r="G1" s="5" t="s">
        <v>93</v>
      </c>
      <c r="H1" s="5" t="s">
        <v>94</v>
      </c>
      <c r="I1" s="5" t="s">
        <v>95</v>
      </c>
      <c r="J1" s="5" t="s">
        <v>96</v>
      </c>
      <c r="K1" s="5" t="s">
        <v>97</v>
      </c>
      <c r="L1" s="5" t="s">
        <v>98</v>
      </c>
      <c r="M1" s="5" t="s">
        <v>24</v>
      </c>
      <c r="N1" s="5" t="s">
        <v>99</v>
      </c>
    </row>
    <row r="2" spans="1:14" x14ac:dyDescent="0.4">
      <c r="A2" s="6" t="s">
        <v>100</v>
      </c>
      <c r="B2" s="6" t="s">
        <v>101</v>
      </c>
      <c r="C2" s="6" t="s">
        <v>102</v>
      </c>
      <c r="D2" s="6" t="s">
        <v>103</v>
      </c>
      <c r="E2" s="9" t="s">
        <v>104</v>
      </c>
      <c r="F2" s="6" t="s">
        <v>105</v>
      </c>
      <c r="G2" s="6" t="s">
        <v>106</v>
      </c>
      <c r="H2" s="6" t="s">
        <v>107</v>
      </c>
      <c r="I2" s="6" t="s">
        <v>108</v>
      </c>
      <c r="J2" s="6" t="s">
        <v>109</v>
      </c>
      <c r="K2" s="6" t="s">
        <v>110</v>
      </c>
      <c r="L2" s="6" t="s">
        <v>111</v>
      </c>
      <c r="M2" s="12" t="s">
        <v>37</v>
      </c>
      <c r="N2" s="10" t="s">
        <v>112</v>
      </c>
    </row>
    <row r="3" spans="1:14" x14ac:dyDescent="0.4">
      <c r="A3" s="10" t="s">
        <v>100</v>
      </c>
      <c r="B3" s="10" t="s">
        <v>101</v>
      </c>
      <c r="C3" s="10" t="s">
        <v>102</v>
      </c>
      <c r="D3" s="10" t="s">
        <v>103</v>
      </c>
      <c r="E3" s="11" t="s">
        <v>104</v>
      </c>
      <c r="F3" s="10" t="s">
        <v>113</v>
      </c>
      <c r="G3" s="10" t="s">
        <v>114</v>
      </c>
      <c r="H3" s="10" t="s">
        <v>115</v>
      </c>
      <c r="I3" s="10" t="s">
        <v>108</v>
      </c>
      <c r="J3" s="10" t="s">
        <v>109</v>
      </c>
      <c r="K3" s="10" t="s">
        <v>110</v>
      </c>
      <c r="L3" s="10" t="s">
        <v>111</v>
      </c>
      <c r="M3" s="12" t="s">
        <v>37</v>
      </c>
      <c r="N3" s="10" t="s">
        <v>112</v>
      </c>
    </row>
    <row r="4" spans="1:14" x14ac:dyDescent="0.4">
      <c r="A4" s="6" t="s">
        <v>100</v>
      </c>
      <c r="B4" s="6" t="s">
        <v>101</v>
      </c>
      <c r="C4" s="6" t="s">
        <v>102</v>
      </c>
      <c r="D4" s="6" t="s">
        <v>103</v>
      </c>
      <c r="E4" s="9" t="s">
        <v>104</v>
      </c>
      <c r="F4" s="6" t="s">
        <v>116</v>
      </c>
      <c r="G4" s="6" t="s">
        <v>117</v>
      </c>
      <c r="H4" s="6" t="s">
        <v>115</v>
      </c>
      <c r="I4" s="6" t="s">
        <v>108</v>
      </c>
      <c r="J4" s="6" t="s">
        <v>109</v>
      </c>
      <c r="K4" s="6" t="s">
        <v>110</v>
      </c>
      <c r="L4" s="6" t="s">
        <v>111</v>
      </c>
      <c r="M4" s="12" t="s">
        <v>37</v>
      </c>
      <c r="N4" s="10" t="s">
        <v>112</v>
      </c>
    </row>
    <row r="5" spans="1:14" x14ac:dyDescent="0.4">
      <c r="A5" s="10" t="s">
        <v>100</v>
      </c>
      <c r="B5" s="10" t="s">
        <v>101</v>
      </c>
      <c r="C5" s="10" t="s">
        <v>102</v>
      </c>
      <c r="D5" s="10" t="s">
        <v>103</v>
      </c>
      <c r="E5" s="11" t="s">
        <v>104</v>
      </c>
      <c r="F5" s="10" t="s">
        <v>118</v>
      </c>
      <c r="G5" s="10" t="s">
        <v>119</v>
      </c>
      <c r="H5" s="10" t="s">
        <v>115</v>
      </c>
      <c r="I5" s="10" t="s">
        <v>108</v>
      </c>
      <c r="J5" s="10" t="s">
        <v>109</v>
      </c>
      <c r="K5" s="10" t="s">
        <v>110</v>
      </c>
      <c r="L5" s="10" t="s">
        <v>111</v>
      </c>
      <c r="M5" s="8" t="s">
        <v>26</v>
      </c>
      <c r="N5" s="10" t="s">
        <v>120</v>
      </c>
    </row>
    <row r="6" spans="1:14" x14ac:dyDescent="0.4">
      <c r="A6" s="6" t="s">
        <v>100</v>
      </c>
      <c r="B6" s="6" t="s">
        <v>101</v>
      </c>
      <c r="C6" s="6" t="s">
        <v>102</v>
      </c>
      <c r="D6" s="6" t="s">
        <v>103</v>
      </c>
      <c r="E6" s="9" t="s">
        <v>104</v>
      </c>
      <c r="F6" s="6" t="s">
        <v>121</v>
      </c>
      <c r="G6" s="6" t="s">
        <v>122</v>
      </c>
      <c r="H6" s="6" t="s">
        <v>115</v>
      </c>
      <c r="I6" s="6" t="s">
        <v>108</v>
      </c>
      <c r="J6" s="6" t="s">
        <v>109</v>
      </c>
      <c r="K6" s="6" t="s">
        <v>110</v>
      </c>
      <c r="L6" s="6" t="s">
        <v>111</v>
      </c>
      <c r="M6" s="8" t="s">
        <v>26</v>
      </c>
      <c r="N6" s="10" t="s">
        <v>120</v>
      </c>
    </row>
    <row r="7" spans="1:14" x14ac:dyDescent="0.4">
      <c r="A7" s="10" t="s">
        <v>100</v>
      </c>
      <c r="B7" s="10" t="s">
        <v>101</v>
      </c>
      <c r="C7" s="10" t="s">
        <v>102</v>
      </c>
      <c r="D7" s="10" t="s">
        <v>103</v>
      </c>
      <c r="E7" s="11" t="s">
        <v>104</v>
      </c>
      <c r="F7" s="10" t="s">
        <v>123</v>
      </c>
      <c r="G7" s="10" t="s">
        <v>124</v>
      </c>
      <c r="H7" s="10" t="s">
        <v>115</v>
      </c>
      <c r="I7" s="10" t="s">
        <v>108</v>
      </c>
      <c r="J7" s="10" t="s">
        <v>109</v>
      </c>
      <c r="K7" s="10" t="s">
        <v>110</v>
      </c>
      <c r="L7" s="10" t="s">
        <v>111</v>
      </c>
      <c r="M7" s="17" t="s">
        <v>125</v>
      </c>
      <c r="N7" s="10" t="s">
        <v>126</v>
      </c>
    </row>
    <row r="8" spans="1:14" x14ac:dyDescent="0.4">
      <c r="A8" s="6" t="s">
        <v>100</v>
      </c>
      <c r="B8" s="6" t="s">
        <v>101</v>
      </c>
      <c r="C8" s="6" t="s">
        <v>102</v>
      </c>
      <c r="D8" s="6" t="s">
        <v>103</v>
      </c>
      <c r="E8" s="9" t="s">
        <v>104</v>
      </c>
      <c r="F8" s="6" t="s">
        <v>127</v>
      </c>
      <c r="G8" s="6" t="s">
        <v>128</v>
      </c>
      <c r="H8" s="6" t="s">
        <v>115</v>
      </c>
      <c r="I8" s="6" t="s">
        <v>108</v>
      </c>
      <c r="J8" s="6" t="s">
        <v>109</v>
      </c>
      <c r="K8" s="6" t="s">
        <v>110</v>
      </c>
      <c r="L8" s="6" t="s">
        <v>111</v>
      </c>
      <c r="M8" s="17" t="s">
        <v>125</v>
      </c>
      <c r="N8" s="10" t="s">
        <v>126</v>
      </c>
    </row>
    <row r="9" spans="1:14" x14ac:dyDescent="0.4">
      <c r="A9" s="10" t="s">
        <v>129</v>
      </c>
      <c r="B9" s="10" t="s">
        <v>130</v>
      </c>
      <c r="C9" s="10" t="s">
        <v>131</v>
      </c>
      <c r="D9" s="10" t="s">
        <v>132</v>
      </c>
      <c r="E9" s="11" t="s">
        <v>133</v>
      </c>
      <c r="F9" s="10" t="s">
        <v>134</v>
      </c>
      <c r="G9" s="10" t="s">
        <v>135</v>
      </c>
      <c r="H9" s="10" t="s">
        <v>115</v>
      </c>
      <c r="I9" s="10" t="s">
        <v>136</v>
      </c>
      <c r="J9" s="10" t="s">
        <v>137</v>
      </c>
      <c r="K9" s="10" t="s">
        <v>110</v>
      </c>
      <c r="L9" s="10" t="s">
        <v>111</v>
      </c>
      <c r="M9" s="12" t="s">
        <v>37</v>
      </c>
      <c r="N9" s="10" t="s">
        <v>112</v>
      </c>
    </row>
    <row r="10" spans="1:14" x14ac:dyDescent="0.4">
      <c r="A10" s="6" t="s">
        <v>129</v>
      </c>
      <c r="B10" s="6" t="s">
        <v>130</v>
      </c>
      <c r="C10" s="6" t="s">
        <v>131</v>
      </c>
      <c r="D10" s="6" t="s">
        <v>132</v>
      </c>
      <c r="E10" s="9" t="s">
        <v>133</v>
      </c>
      <c r="F10" s="6" t="s">
        <v>138</v>
      </c>
      <c r="G10" s="6" t="s">
        <v>139</v>
      </c>
      <c r="H10" s="6" t="s">
        <v>115</v>
      </c>
      <c r="I10" s="6" t="s">
        <v>136</v>
      </c>
      <c r="J10" s="6" t="s">
        <v>137</v>
      </c>
      <c r="K10" s="6" t="s">
        <v>110</v>
      </c>
      <c r="L10" s="6" t="s">
        <v>111</v>
      </c>
      <c r="M10" s="12" t="s">
        <v>37</v>
      </c>
      <c r="N10" s="10" t="s">
        <v>112</v>
      </c>
    </row>
    <row r="11" spans="1:14" x14ac:dyDescent="0.4">
      <c r="A11" s="10" t="s">
        <v>129</v>
      </c>
      <c r="B11" s="10" t="s">
        <v>130</v>
      </c>
      <c r="C11" s="10" t="s">
        <v>140</v>
      </c>
      <c r="D11" s="10" t="s">
        <v>141</v>
      </c>
      <c r="E11" s="11" t="s">
        <v>142</v>
      </c>
      <c r="F11" s="10" t="s">
        <v>143</v>
      </c>
      <c r="G11" s="10" t="s">
        <v>144</v>
      </c>
      <c r="H11" s="10" t="s">
        <v>107</v>
      </c>
      <c r="I11" s="10" t="s">
        <v>108</v>
      </c>
      <c r="J11" s="10" t="s">
        <v>109</v>
      </c>
      <c r="K11" s="10" t="s">
        <v>110</v>
      </c>
      <c r="L11" s="10" t="s">
        <v>111</v>
      </c>
      <c r="M11" s="12" t="s">
        <v>37</v>
      </c>
      <c r="N11" s="10" t="s">
        <v>112</v>
      </c>
    </row>
    <row r="12" spans="1:14" x14ac:dyDescent="0.4">
      <c r="A12" s="6" t="s">
        <v>129</v>
      </c>
      <c r="B12" s="6" t="s">
        <v>130</v>
      </c>
      <c r="C12" s="6" t="s">
        <v>140</v>
      </c>
      <c r="D12" s="6" t="s">
        <v>141</v>
      </c>
      <c r="E12" s="9" t="s">
        <v>142</v>
      </c>
      <c r="F12" s="6" t="s">
        <v>145</v>
      </c>
      <c r="G12" s="6" t="s">
        <v>146</v>
      </c>
      <c r="H12" s="6" t="s">
        <v>115</v>
      </c>
      <c r="I12" s="6" t="s">
        <v>108</v>
      </c>
      <c r="J12" s="6" t="s">
        <v>109</v>
      </c>
      <c r="K12" s="6" t="s">
        <v>110</v>
      </c>
      <c r="L12" s="6" t="s">
        <v>111</v>
      </c>
      <c r="M12" s="8" t="s">
        <v>26</v>
      </c>
      <c r="N12" s="10" t="s">
        <v>147</v>
      </c>
    </row>
    <row r="13" spans="1:14" x14ac:dyDescent="0.4">
      <c r="A13" s="10" t="s">
        <v>129</v>
      </c>
      <c r="B13" s="10" t="s">
        <v>130</v>
      </c>
      <c r="C13" s="10" t="s">
        <v>148</v>
      </c>
      <c r="D13" s="10" t="s">
        <v>149</v>
      </c>
      <c r="E13" s="11" t="s">
        <v>150</v>
      </c>
      <c r="F13" s="10" t="s">
        <v>151</v>
      </c>
      <c r="G13" s="10" t="s">
        <v>152</v>
      </c>
      <c r="H13" s="10" t="s">
        <v>115</v>
      </c>
      <c r="I13" s="10" t="s">
        <v>153</v>
      </c>
      <c r="J13" s="10" t="s">
        <v>154</v>
      </c>
      <c r="K13" s="10" t="s">
        <v>155</v>
      </c>
      <c r="L13" s="10" t="s">
        <v>111</v>
      </c>
      <c r="M13" s="17" t="s">
        <v>125</v>
      </c>
      <c r="N13" s="10" t="s">
        <v>156</v>
      </c>
    </row>
    <row r="14" spans="1:14" x14ac:dyDescent="0.4">
      <c r="A14" s="6" t="s">
        <v>129</v>
      </c>
      <c r="B14" s="6" t="s">
        <v>130</v>
      </c>
      <c r="C14" s="6" t="s">
        <v>148</v>
      </c>
      <c r="D14" s="6" t="s">
        <v>149</v>
      </c>
      <c r="E14" s="9" t="s">
        <v>150</v>
      </c>
      <c r="F14" s="6" t="s">
        <v>157</v>
      </c>
      <c r="G14" s="6" t="s">
        <v>158</v>
      </c>
      <c r="H14" s="6" t="s">
        <v>115</v>
      </c>
      <c r="I14" s="6" t="s">
        <v>153</v>
      </c>
      <c r="J14" s="6" t="s">
        <v>154</v>
      </c>
      <c r="K14" s="6" t="s">
        <v>155</v>
      </c>
      <c r="L14" s="6" t="s">
        <v>111</v>
      </c>
      <c r="M14" s="17" t="s">
        <v>125</v>
      </c>
      <c r="N14" s="10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Retail License Flows</vt:lpstr>
      <vt:lpstr>Office License Flows</vt:lpstr>
      <vt:lpstr>Food &amp; Services</vt:lpstr>
      <vt:lpstr>Combined Summary</vt:lpstr>
      <vt:lpstr>Sample License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Dela Rosa</dc:creator>
  <cp:lastModifiedBy>Troy Dela Rosa</cp:lastModifiedBy>
  <dcterms:created xsi:type="dcterms:W3CDTF">2026-04-13T20:45:35Z</dcterms:created>
  <dcterms:modified xsi:type="dcterms:W3CDTF">2026-04-14T11:20:16Z</dcterms:modified>
</cp:coreProperties>
</file>